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oweerkt/Documents/Yalutec - Migo/qa-senior-fase2-espinal/E3-casos/"/>
    </mc:Choice>
  </mc:AlternateContent>
  <xr:revisionPtr revIDLastSave="0" documentId="13_ncr:1_{CEB8F847-9288-EF46-86B2-35CA3F385659}" xr6:coauthVersionLast="47" xr6:coauthVersionMax="47" xr10:uidLastSave="{00000000-0000-0000-0000-000000000000}"/>
  <bookViews>
    <workbookView xWindow="0" yWindow="600" windowWidth="38400" windowHeight="19720" tabRatio="500" activeTab="1" xr2:uid="{00000000-000D-0000-FFFF-FFFF00000000}"/>
  </bookViews>
  <sheets>
    <sheet name="Resumen" sheetId="1" r:id="rId1"/>
    <sheet name="Casos" sheetId="2" r:id="rId2"/>
    <sheet name="Trazabilidad" sheetId="3" r:id="rId3"/>
    <sheet name="Leyenda" sheetId="4" r:id="rId4"/>
  </sheets>
  <definedNames>
    <definedName name="_xlnm._FilterDatabase" localSheetId="1" hidden="1">Casos!$A$1:$P$26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7" i="3" l="1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B13" i="1"/>
  <c r="B12" i="1"/>
  <c r="B11" i="1"/>
  <c r="B10" i="1"/>
  <c r="B14" i="1" s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<sst xmlns="http://schemas.openxmlformats.org/spreadsheetml/2006/main" count="489" uniqueCount="274">
  <si>
    <t>Indicador</t>
  </si>
  <si>
    <t>Valor</t>
  </si>
  <si>
    <t>Casos totales</t>
  </si>
  <si>
    <t>Casos de API</t>
  </si>
  <si>
    <t>Casos móviles</t>
  </si>
  <si>
    <t>Prioridad alta</t>
  </si>
  <si>
    <t>Prioridad media</t>
  </si>
  <si>
    <t>Smoke de liberación</t>
  </si>
  <si>
    <t>Estado de ejecución (E4)</t>
  </si>
  <si>
    <t>Pasó</t>
  </si>
  <si>
    <t>Falló</t>
  </si>
  <si>
    <t>Bloqueado</t>
  </si>
  <si>
    <t>Pendiente</t>
  </si>
  <si>
    <t>Avance de ejecución</t>
  </si>
  <si>
    <t>ID</t>
  </si>
  <si>
    <t>Título</t>
  </si>
  <si>
    <t>Canal</t>
  </si>
  <si>
    <t>CA / Regla</t>
  </si>
  <si>
    <t>Riesgo E1</t>
  </si>
  <si>
    <t>Prioridad</t>
  </si>
  <si>
    <t>Técnica de diseño</t>
  </si>
  <si>
    <t>Smoke</t>
  </si>
  <si>
    <t>Precondiciones</t>
  </si>
  <si>
    <t>Datos de prueba</t>
  </si>
  <si>
    <t>Pasos</t>
  </si>
  <si>
    <t>Resultado esperado</t>
  </si>
  <si>
    <t>Supuesto E1</t>
  </si>
  <si>
    <t>Estado</t>
  </si>
  <si>
    <t>Defecto</t>
  </si>
  <si>
    <t>Evidencia</t>
  </si>
  <si>
    <t>TC-01</t>
  </si>
  <si>
    <t>Alta completa sin código (camino feliz)</t>
  </si>
  <si>
    <t>API</t>
  </si>
  <si>
    <t>CA-02, CA-05, CA-06</t>
  </si>
  <si>
    <t>A-15</t>
  </si>
  <si>
    <t>Alta</t>
  </si>
  <si>
    <t>Partición de equivalencia (clase válida)</t>
  </si>
  <si>
    <t>Sí</t>
  </si>
  <si>
    <t>Ambiente reiniciado. Comercio con función activa.</t>
  </si>
  <si>
    <t>tok_app_norte; X-Device-Id único; escenario approved; persona al azar; datos de negocio válidos; Idempotency-Key nueva</t>
  </si>
  <si>
    <t>Paso 3: APPROVED con CUI (13 dígitos), nombres, apellidos, fecha de nacimiento, vencimiento, sexo y nacionalidad.
Paso 4: alta creada; código generado y consumido.
Paso 5: CONSUMED.
Base: 1 alta, 1 código consumido del comercio y canal correctos.
Respuestas conformes al contrato.</t>
  </si>
  <si>
    <t>TC-02</t>
  </si>
  <si>
    <t>Función disponible solo en comercios activos con proveedor soportado</t>
  </si>
  <si>
    <t>CA-01, Regla 3</t>
  </si>
  <si>
    <t>A-03</t>
  </si>
  <si>
    <t>Tabla de decisión</t>
  </si>
  <si>
    <t>Ambiente reiniciado.</t>
  </si>
  <si>
    <t>tok_app_norte (activa, idv-sandbox), tok_app_sur (inactiva), tok_app_oeste (idv-legacy), tok_app_este (activa)</t>
  </si>
  <si>
    <t>1. POST /v1/identity/sessions con cada token
2. Si hay endpoint de configuración, consultarlo con cada token</t>
  </si>
  <si>
    <t>M-NORTE y M-ESTE: sesión creada.
M-SUR y M-OESTE: rechazo con error de negocio, sin crear sesión ni registro en la base.
Ninguna respuesta expone datos del proveedor.</t>
  </si>
  <si>
    <t>TC-03</t>
  </si>
  <si>
    <t>Umbral del comercio por encima del criterio del proveedor (0.72)</t>
  </si>
  <si>
    <t>CA-03</t>
  </si>
  <si>
    <t>A-02</t>
  </si>
  <si>
    <t>Partición de equivalencia (clase inválida)</t>
  </si>
  <si>
    <t>Comercio exige coincidencia facial (0.80).</t>
  </si>
  <si>
    <t>tok_app_norte; escenario face_borderline</t>
  </si>
  <si>
    <t>1. POST /v1/identity/sessions
2. POST /v1/_sandbox/sessions/{providerSessionId}/complete con face_borderline
3. GET /v1/identity/verifications/{id}
4. Intentar crear el alta</t>
  </si>
  <si>
    <t>Paso 3: REJECTED con motivo de coincidencia facial baja, aunque el proveedor aprobó.
Paso 4: alta rechazada.
Base: sin alta.</t>
  </si>
  <si>
    <t>TC-04</t>
  </si>
  <si>
    <t>Valores límite del puntaje facial (0.79 / 0.80 / 0.81)</t>
  </si>
  <si>
    <t>Valores límite</t>
  </si>
  <si>
    <t>No</t>
  </si>
  <si>
    <t>Secreto de firma de QA disponible.</t>
  </si>
  <si>
    <t>3 sesiones de tok_app_norte; webhooks propios firmados con HMAC-SHA256 y puntajes 0.79, 0.80 y 0.81</t>
  </si>
  <si>
    <t>1. Crear 3 sesiones con POST /v1/identity/sessions
2. Enviar a POST /v1/webhooks/idv el webhook de aprobación con cada puntaje
3. GET /v1/identity/verifications/{id} de cada una</t>
  </si>
  <si>
    <t>0.79: REJECTED.
0.80: APPROVED.
0.81: APPROVED.</t>
  </si>
  <si>
    <t>A-02 (0.80 exacto aprueba; ≥)</t>
  </si>
  <si>
    <t>TC-05</t>
  </si>
  <si>
    <t>Rechazos del proveedor con motivo específico y recaptura</t>
  </si>
  <si>
    <t>CA-02, CA-03, Regla 6, Regla 8</t>
  </si>
  <si>
    <t>A-11, A-13</t>
  </si>
  <si>
    <t>Partición de equivalencia</t>
  </si>
  <si>
    <t>tok_app_norte; escenarios document_expired, document_unreadable, liveness_failed, face_mismatch; un X-Device-Id por escenario</t>
  </si>
  <si>
    <t>1. Por cada escenario: POST /v1/identity/sessions y POST /v1/_sandbox/sessions/{providerSessionId}/complete
2. GET /v1/identity/verifications/{id}
3. Crear una sesión nueva con el mismo dispositivo (recaptura)</t>
  </si>
  <si>
    <t>Paso 2: REJECTED con un motivo distinto por escenario (vencido, ilegible, prueba de vida, rostro). El mensaje no contiene el CUI.
Paso 3: sesión nueva permitida y el contador de intentos aumenta.</t>
  </si>
  <si>
    <t>A-11 (la recaptura consume un intento)</t>
  </si>
  <si>
    <t>TC-06</t>
  </si>
  <si>
    <t>Gate en el servidor: alta con verificación no aprobada</t>
  </si>
  <si>
    <t>CA-06</t>
  </si>
  <si>
    <t>A-04</t>
  </si>
  <si>
    <t>Verificaciones en PENDING, DOCUMENT_OK, REJECTED y MANUAL_REVIEW.</t>
  </si>
  <si>
    <t>tok_app_norte; escenarios: ninguno (PENDING), document_only, face_mismatch, needs_review</t>
  </si>
  <si>
    <t>Las 4 llamadas se rechazan con un error de negocio.
No se crea alta ni código en la base.
El estado de la verificación no cambia.</t>
  </si>
  <si>
    <t>TC-07</t>
  </si>
  <si>
    <t>Vencimiento de la aprobación a los 30 minutos</t>
  </si>
  <si>
    <t>CA-06, Estados</t>
  </si>
  <si>
    <t>El reloj solo avanza: preparar las 3 verificaciones antes de mover el reloj.</t>
  </si>
  <si>
    <t>3 verificaciones aprobadas al mismo tiempo (V1, V2, V3); /v1/_sandbox/clock</t>
  </si>
  <si>
    <t>1. Aprobar V1, V2 y V3
2. Adelantar 29 min y crear el alta con V1
3. Adelantar 1 min (30) y crear el alta con V2
4. Adelantar 1 min (31): GET /v1/identity/verifications/{id} de V3 y luego crear el alta con V3</t>
  </si>
  <si>
    <t>V1: alta creada.
V2: alta creada (30:00 sigue siendo válida).
V3: GET muestra EXPIRED y el alta se rechaza.</t>
  </si>
  <si>
    <t>A-04 (válida hasta 30:00 inclusive)</t>
  </si>
  <si>
    <t>TC-08</t>
  </si>
  <si>
    <t>Verificación ya consumida no sirve para otra alta</t>
  </si>
  <si>
    <t>A-06</t>
  </si>
  <si>
    <t>Transición de estados</t>
  </si>
  <si>
    <t>Verificación en CONSUMED (de TC-01).</t>
  </si>
  <si>
    <t>tok_app_norte; verificationId consumido; Idempotency-Key distinta</t>
  </si>
  <si>
    <t>1. Llamar a endpoint de alta (según contrato) con la misma verificación y otra Idempotency-Key</t>
  </si>
  <si>
    <t>Rechazo (verificación ya usada).
Base: sigue existiendo 1 sola alta.</t>
  </si>
  <si>
    <t>TC-09</t>
  </si>
  <si>
    <t>Idempotencia: reintento con la misma llave</t>
  </si>
  <si>
    <t>CA-10</t>
  </si>
  <si>
    <t>A-09</t>
  </si>
  <si>
    <t>Verificación APPROVED.</t>
  </si>
  <si>
    <t>tok_app_norte; Idempotency-Key K1</t>
  </si>
  <si>
    <t>1. endpoint de alta (según contrato) con K1
2. Repetir la misma llamada con K1
3. Repetir con K1 y otro body
4. Llamar sin Idempotency-Key</t>
  </si>
  <si>
    <t>Pasos 1 y 2: misma respuesta y mismo id de alta.
Paso 3: error (llave reutilizada con otro body).
Paso 4: error si el contrato marca la llave como obligatoria.
Base: 1 alta.</t>
  </si>
  <si>
    <t>TC-10</t>
  </si>
  <si>
    <t>Concurrencia: reintentos y altas simultáneas</t>
  </si>
  <si>
    <t>CA-10, CA-06</t>
  </si>
  <si>
    <t>Concurrencia</t>
  </si>
  <si>
    <t>Dos verificaciones APPROVED (VA, VB).</t>
  </si>
  <si>
    <t>tok_app_norte; 10 llamadas en paralelo</t>
  </si>
  <si>
    <t>1. 10 llamadas simultáneas a endpoint de alta (según contrato) con VA y la misma llave
2. 10 llamadas simultáneas con VB y llaves distintas</t>
  </si>
  <si>
    <t>Paso 1: todas las respuestas apuntan a la misma alta.
Paso 2: solo una tiene éxito; el resto se rechaza.
Base: exactamente 1 alta por verificación.</t>
  </si>
  <si>
    <t>TC-11</t>
  </si>
  <si>
    <t>Mismo DPI en dos comercios y dos veces en el mismo</t>
  </si>
  <si>
    <t>CA-07</t>
  </si>
  <si>
    <t>Persona fija document: A; tok_app_norte y tok_app_este</t>
  </si>
  <si>
    <t>1. Flujo completo con A en M-NORTE
2. Flujo completo con A en M-ESTE
3. Flujo completo con A de nuevo en M-NORTE</t>
  </si>
  <si>
    <t>Pasos 1 y 2: dos altas distintas.
Paso 3: se devuelve la misma alta del paso 1, sin cambiar sus datos; la verificación queda CONSUMED; no se crea otra alta.
Base: 2 altas para el CUI de A.</t>
  </si>
  <si>
    <t>TC-12</t>
  </si>
  <si>
    <t>Límite de 3 intentos por dispositivo y comercio en 24 h</t>
  </si>
  <si>
    <t>CA-08</t>
  </si>
  <si>
    <t>A-07, A-11</t>
  </si>
  <si>
    <t>tok_app_norte; X-Device-Id D1; tok_app_este con D1; /v1/_sandbox/clock</t>
  </si>
  <si>
    <t>1. 3 sesiones con D1 en M-NORTE
2. 4.ª sesión con D1 en M-NORTE
3. Sesión con D1 en M-ESTE
4. Adelantar el reloj 24 h + 1 min y crear una sesión con D1 en M-NORTE
5. 4 sesiones simultáneas con D2</t>
  </si>
  <si>
    <t>Paso 1: permitidas.
Paso 2: rechazo indicando que se agotaron los intentos y ofreciendo soporte.
Paso 3: permitida (otro comercio).
Paso 4: permitida.
Paso 5: como máximo 3 creadas.</t>
  </si>
  <si>
    <t>A-07 (ventana móvil de 24 h)</t>
  </si>
  <si>
    <t>TC-13</t>
  </si>
  <si>
    <t>Revisión manual según configuración del comercio</t>
  </si>
  <si>
    <t>CA-09</t>
  </si>
  <si>
    <t>A-10</t>
  </si>
  <si>
    <t>tok_app_norte y tok_app_este; escenario needs_review; tok_ops_norte</t>
  </si>
  <si>
    <t>1. needs_review en M-NORTE
2. needs_review en M-ESTE
3. Resolver la del paso 1 con tok_app_norte
4. Aprobarla con tok_ops_norte
5. Crear el alta</t>
  </si>
  <si>
    <t>Paso 1: MANUAL_REVIEW.
Paso 2: REJECTED con opción de soporte.
Paso 3: rechazo (sin permiso).
Paso 4: APPROVED.
Paso 5: alta creada.</t>
  </si>
  <si>
    <t>TC-14</t>
  </si>
  <si>
    <t>Transiciones no permitidas y webhooks repetidos</t>
  </si>
  <si>
    <t>Estados, CA-09</t>
  </si>
  <si>
    <t>A-05, A-12</t>
  </si>
  <si>
    <t>Verificaciones en REJECTED, CONSUMED, CANCELLED, EXPIRED y MANUAL_REVIEW.</t>
  </si>
  <si>
    <t>Webhooks propios firmados de aprobación; escenario document_only</t>
  </si>
  <si>
    <t>1. Enviar a POST /v1/webhooks/idv una aprobación para cada estado final
2. Enviar una aprobación por webhook para MANUAL_REVIEW
3. Enviar el mismo webhook de aprobación 2 veces a una PENDING
4. document_only y luego GET /v1/identity/verifications/{id}</t>
  </si>
  <si>
    <t>Pasos 1 y 2: el estado no cambia (MANUAL_REVIEW solo lo resuelve operaciones).
Paso 3: una sola transición; la ventana de 30 min no se reinicia.
Paso 4: DOCUMENT_OK o CANCELLED, nunca APPROVED.</t>
  </si>
  <si>
    <t>TC-15</t>
  </si>
  <si>
    <t>Firma del webhook</t>
  </si>
  <si>
    <t>Regla 2</t>
  </si>
  <si>
    <t>A-05</t>
  </si>
  <si>
    <t>Partición de equivalencia (clases inválidas)</t>
  </si>
  <si>
    <t>Sesión en PENDING.</t>
  </si>
  <si>
    <t>Webhook de aprobación: sin firma, firmado con otro secreto, cuerpo modificado después de firmar, firma válida</t>
  </si>
  <si>
    <t>1. Enviar a POST /v1/webhooks/idv cada variante
2. GET /v1/identity/verifications/{id} después de cada una</t>
  </si>
  <si>
    <t>Inválidas: 401, sin cambio de estado.
Válida: se aplica.
Las respuestas no revelan el secreto.</t>
  </si>
  <si>
    <t>TC-16</t>
  </si>
  <si>
    <t>Aislamiento entre comercios y datos resueltos por el servidor</t>
  </si>
  <si>
    <t>Regla 3, CA-07</t>
  </si>
  <si>
    <t>A-01, A-03</t>
  </si>
  <si>
    <t>Verificación APPROVED de M-NORTE.</t>
  </si>
  <si>
    <t>tok_app_este; body con merchantId, channel, CUI y nombres ajenos</t>
  </si>
  <si>
    <t>1. GET /v1/identity/verifications/{id} de una verificación de M-NORTE con tok_app_este
2. Crear el alta en M-ESTE con la verificación de M-NORTE
3. Crear el alta en M-NORTE enviando merchantId, channel y datos de persona en el body</t>
  </si>
  <si>
    <t>Paso 1: 404 o 403, sin datos.
Paso 2: rechazo.
Paso 3: el servidor ignora esos campos o rechaza; el alta queda con el comercio, canal (alfa) y persona del DPI.</t>
  </si>
  <si>
    <t>A-01 (datos no editables)</t>
  </si>
  <si>
    <t>TC-17</t>
  </si>
  <si>
    <t>Privacidad de datos personales y secretos</t>
  </si>
  <si>
    <t>Regla 2, Regla 4, Regla 8</t>
  </si>
  <si>
    <t>A-08</t>
  </si>
  <si>
    <t>Revisión de respuestas (checklist)</t>
  </si>
  <si>
    <t>Ejecutados los casos anteriores.</t>
  </si>
  <si>
    <t>Respuestas guardadas de todos los casos; qa.db</t>
  </si>
  <si>
    <t>1. Buscar el CUI y sus fragmentos en todas las respuestas de error
2. Buscar secretos o credenciales del proveedor en todas las respuestas
3. Revisar en la base cómo se guardan las imágenes y si hay URLs públicas</t>
  </si>
  <si>
    <t>El CUI no aparece en ningún error.
No hay secretos en las respuestas.
Las imágenes tienen almacenamiento privado y acceso temporal.</t>
  </si>
  <si>
    <t>TC-18</t>
  </si>
  <si>
    <t>Validación de los datos del negocio</t>
  </si>
  <si>
    <t>CA-04</t>
  </si>
  <si>
    <t>A-14</t>
  </si>
  <si>
    <t>Media</t>
  </si>
  <si>
    <t>Partición de equivalencia y valores límite</t>
  </si>
  <si>
    <t>Campos del contrato: vacíos, longitud mínima y máxima ±1, formato inválido</t>
  </si>
  <si>
    <t>1. Llamar a endpoint de alta (según contrato) con cada variante inválida
2. Llamar con datos válidos</t>
  </si>
  <si>
    <t>Inválidos: 400/422 con el campo identificado y sin consumir la verificación.
Válidos: alta creada.</t>
  </si>
  <si>
    <t>TC-19</t>
  </si>
  <si>
    <t>Regresión: alta con código de invitación</t>
  </si>
  <si>
    <t>Regla 1</t>
  </si>
  <si>
    <t>Regresión</t>
  </si>
  <si>
    <t>Código de invitación válido (si el contrato expone el flujo).</t>
  </si>
  <si>
    <t>tok_app_norte y tok_app_sur</t>
  </si>
  <si>
    <t>1. Alta con código en M-NORTE
2. Alta con código en M-SUR (función inactiva)</t>
  </si>
  <si>
    <t>Ambas funcionan como antes de la HU.</t>
  </si>
  <si>
    <t>TC-M01</t>
  </si>
  <si>
    <t>Opción "No tengo código" y aviso de privacidad</t>
  </si>
  <si>
    <t>Móvil</t>
  </si>
  <si>
    <t>CA-01, Flujo 1</t>
  </si>
  <si>
    <t>App instalada; usuarios de los 4 comercios.</t>
  </si>
  <si>
    <t>M-NORTE, M-SUR, M-OESTE, M-ESTE</t>
  </si>
  <si>
    <t>1. Llegar al paso del código con cada comercio
2. En M-NORTE elegir "No tengo código"</t>
  </si>
  <si>
    <t>M-NORTE y M-ESTE: opción visible.
M-SUR y M-OESTE: no se muestra la opción ni ningún error.
Paso 2: aviso de DPI, selfie y almacenamiento privado antes de abrir la cámara.</t>
  </si>
  <si>
    <t>TC-M02</t>
  </si>
  <si>
    <t>Permisos de cámara</t>
  </si>
  <si>
    <t>Flujo 2</t>
  </si>
  <si>
    <t>Android e iOS.</t>
  </si>
  <si>
    <t>Permiso: concedido, denegado una vez, denegado permanentemente, revocado desde ajustes durante la captura</t>
  </si>
  <si>
    <t>1. Iniciar la captura con cada estado del permiso
2. Volver a la app tras cambiar el permiso</t>
  </si>
  <si>
    <t>Concedido: abre la captura.
Denegado: explica por qué se necesita y permite reintentar o ir a ajustes; no crea intentos extra.
Revocado: la app no se cierra y permite retomar o reiniciar.</t>
  </si>
  <si>
    <t>TC-M03</t>
  </si>
  <si>
    <t>Red inestable durante la captura, la consulta y la confirmación</t>
  </si>
  <si>
    <t>Flujo 4, CA-10</t>
  </si>
  <si>
    <t>Proxy o herramienta para simular red (por ejemplo Network Link Conditioner).</t>
  </si>
  <si>
    <t>Sin red, 3G lenta, pérdida intermitente</t>
  </si>
  <si>
    <t>1. Iniciar sin red
2. Cortar la red durante la captura
3. Cortar la red durante la consulta del estado
4. Cortar la red justo al confirmar y reintentar</t>
  </si>
  <si>
    <t>Mensajes claros y reintento en cada caso.
La consulta se reanuda hasta un estado final.
Paso 4: el reintento usa la misma Idempotency-Key; se crea una sola alta.</t>
  </si>
  <si>
    <t>TC-M04</t>
  </si>
  <si>
    <t>Segundo plano, interrupciones y abandono</t>
  </si>
  <si>
    <t>Regla 7, Estados</t>
  </si>
  <si>
    <t>A-10, A-12</t>
  </si>
  <si>
    <t>Sesión en curso.</t>
  </si>
  <si>
    <t>Llamada entrante, bloqueo de pantalla, cambio de app, cierre de la app por el sistema</t>
  </si>
  <si>
    <t>1. Interrumpir durante la captura del DPI
2. Interrumpir durante la selfie
3. Interrumpir en la pantalla de confirmación
4. Cerrar la app y volver a abrirla</t>
  </si>
  <si>
    <t>Pasos 1 a 3: se retoma o se informa sin perder la coherencia del estado.
Paso 4: el usuario vuelve a empezar (Regla 7); la sesión anterior queda CANCELLED.</t>
  </si>
  <si>
    <t>A-12</t>
  </si>
  <si>
    <t>TC-M05</t>
  </si>
  <si>
    <t>Datos precargados, botón continuar y mensajes de rechazo</t>
  </si>
  <si>
    <t>CA-04, CA-08, Regla 5, Regla 6, Regla 8</t>
  </si>
  <si>
    <t>A-01</t>
  </si>
  <si>
    <t>Verificación APPROVED; otra REJECTED; dispositivo con intentos agotados.</t>
  </si>
  <si>
    <t>Datos de negocio válidos e inválidos</t>
  </si>
  <si>
    <t>1. Revisar la pantalla de datos del DPI
2. Llenar los datos del negocio con valores inválidos y luego válidos
3. Revisar la confirmación
4. Provocar un rechazo
5. Agotar los intentos</t>
  </si>
  <si>
    <t>Paso 1: datos precargados y no editables (según A-01).
Paso 2: continuar se habilita solo con datos válidos.
Paso 3: CUI completo.
Paso 4: opción de soporte desde el primer rechazo, sin el CUI en el mensaje.
Paso 5: mensaje de intentos agotados con soporte.</t>
  </si>
  <si>
    <t>TC-M06</t>
  </si>
  <si>
    <t>Matriz de dispositivos y condiciones de captura</t>
  </si>
  <si>
    <t>CA-02, CA-03</t>
  </si>
  <si>
    <t>Pairwise (combinatoria por pares)</t>
  </si>
  <si>
    <t>Dispositivos físicos disponibles.</t>
  </si>
  <si>
    <t>Android gama baja (2–3 GB RAM) y alta; iOS antiguo y actual; poca luz; reflejos en el DPI; rotación</t>
  </si>
  <si>
    <t>1. Ejecutar TC-01 (desde la app) en cada combinación de la matriz</t>
  </si>
  <si>
    <t>La captura funciona en todos los dispositivos soportados, sin cierres; los tiempos son aceptables y los rechazos por calidad permiten recapturar.</t>
  </si>
  <si>
    <t>Caso</t>
  </si>
  <si>
    <t>CA-01</t>
  </si>
  <si>
    <t>CA-02</t>
  </si>
  <si>
    <t>CA-05</t>
  </si>
  <si>
    <t>Regla 3</t>
  </si>
  <si>
    <t>Regla 4</t>
  </si>
  <si>
    <t>Regla 5</t>
  </si>
  <si>
    <t>Regla 6</t>
  </si>
  <si>
    <t>Regla 7</t>
  </si>
  <si>
    <t>Regla 8</t>
  </si>
  <si>
    <t>Estados</t>
  </si>
  <si>
    <t>X</t>
  </si>
  <si>
    <t>Total</t>
  </si>
  <si>
    <t>Una celda roja en Total = requisito sin cobertura. Fuente: columna "CA / Regla" de la hoja Casos.</t>
  </si>
  <si>
    <t>Elemento</t>
  </si>
  <si>
    <t>Significado</t>
  </si>
  <si>
    <t>Qué editar</t>
  </si>
  <si>
    <t>Durante el E4 solo se llenan las columnas Estado (lista), Defecto (ID, p. ej. D-03) y Evidencia (archivo o enlace) de la hoja Casos.</t>
  </si>
  <si>
    <t>Prioridad Alta</t>
  </si>
  <si>
    <t>Cubre un riesgo alto del E1 (fraude, altas indebidas o duplicadas, cruce entre comercios, privacidad) o el flujo principal.</t>
  </si>
  <si>
    <t>Prioridad Media</t>
  </si>
  <si>
    <t>Experiencia de usuario o validaciones con salida posible.</t>
  </si>
  <si>
    <t>Smoke = Sí</t>
  </si>
  <si>
    <t>Forma parte del smoke de liberación: 7 casos rápidos que deben pasar antes de cualquier otra prueba y antes de liberar. En el E5 se ejecuta por separado.</t>
  </si>
  <si>
    <t>Un representante por cada clase válida o inválida de entrada.</t>
  </si>
  <si>
    <t>Valores justo en, debajo y encima del límite (0.79/0.80/0.81; 29/30/31 min; 3.º/4.º intento).</t>
  </si>
  <si>
    <t>Combinaciones de condiciones del comercio o del estado y la acción esperada.</t>
  </si>
  <si>
    <t>Transiciones permitidas y no permitidas de la máquina de estados de la verificación.</t>
  </si>
  <si>
    <t>Llamadas simultáneas para probar idempotencia y contadores.</t>
  </si>
  <si>
    <t>Pairwise</t>
  </si>
  <si>
    <t>Combinación por pares para reducir la matriz de dispositivos sin perder cobertura.</t>
  </si>
  <si>
    <t>El resultado esperado depende de ese supuesto del E1. Si el PO decide otra cosa, el caso y su defecto se revisan.</t>
  </si>
  <si>
    <t>Endpoint de alta</t>
  </si>
  <si>
    <t>Se completa con la ruta del contrato (openapi.yaml) cuando se reciba.</t>
  </si>
  <si>
    <t>Ejemplo de llenado</t>
  </si>
  <si>
    <t>TC-03 · Estado: Falló · Defecto: D-01 · Evidencia: E4-defectos/evidencia/TC-03.json</t>
  </si>
  <si>
    <t>1. POST /v1/identity/sessions
2. POST /v1/_sandbox/sessions/{providerSessionId}/complete con approved
3. GET /v1/identity/verifications/{id} hasta estado final
4. Crear alta con endpoint de alta
5. GET /v1/identity/verifications/{id}</t>
  </si>
  <si>
    <t>1. Preparar una verificación en cada estado
2. Llamar a endpoint de alta con cada una, sin pasar por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</si>
</sst>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rgb="FF7F7F7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9" fontId="2" fillId="0" borderId="1" xfId="0" applyNumberFormat="1" applyFont="1" applyBorder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F8D7DA"/>
        </patternFill>
      </fill>
    </dxf>
    <dxf>
      <fill>
        <patternFill>
          <bgColor rgb="FFE2E3E5"/>
        </patternFill>
      </fill>
    </dxf>
    <dxf>
      <fill>
        <patternFill>
          <bgColor rgb="FFF8D7DA"/>
        </patternFill>
      </fill>
    </dxf>
    <dxf>
      <fill>
        <patternFill>
          <bgColor rgb="FFD1E7DD"/>
        </patternFill>
      </fill>
    </dxf>
    <dxf>
      <font>
        <b/>
        <sz val="9"/>
        <name val="Arial"/>
        <charset val="1"/>
      </font>
      <fill>
        <patternFill>
          <bgColor rgb="FFCFE2FF"/>
        </patternFill>
      </fill>
    </dxf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3CD"/>
      <rgbColor rgb="FFE2E3E5"/>
      <rgbColor rgb="FF660066"/>
      <rgbColor rgb="FFFF8080"/>
      <rgbColor rgb="FF0066CC"/>
      <rgbColor rgb="FFCFE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B8" sqref="B8"/>
    </sheetView>
  </sheetViews>
  <sheetFormatPr baseColWidth="10" defaultColWidth="8.6640625" defaultRowHeight="15" x14ac:dyDescent="0.2"/>
  <cols>
    <col min="1" max="1" width="26" customWidth="1"/>
    <col min="2" max="2" width="1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f>COUNTA(Casos!A2:A26)</f>
        <v>25</v>
      </c>
    </row>
    <row r="3" spans="1:2" x14ac:dyDescent="0.2">
      <c r="A3" s="2" t="s">
        <v>3</v>
      </c>
      <c r="B3" s="2">
        <f>COUNTIF(Casos!C2:C26,"API")</f>
        <v>19</v>
      </c>
    </row>
    <row r="4" spans="1:2" x14ac:dyDescent="0.2">
      <c r="A4" s="2" t="s">
        <v>4</v>
      </c>
      <c r="B4" s="2">
        <f>COUNTIF(Casos!C2:C26,"Móvil")</f>
        <v>6</v>
      </c>
    </row>
    <row r="5" spans="1:2" x14ac:dyDescent="0.2">
      <c r="A5" s="2" t="s">
        <v>5</v>
      </c>
      <c r="B5" s="2">
        <f>COUNTIF(Casos!F2:F26,"Alta")</f>
        <v>21</v>
      </c>
    </row>
    <row r="6" spans="1:2" x14ac:dyDescent="0.2">
      <c r="A6" s="2" t="s">
        <v>6</v>
      </c>
      <c r="B6" s="2">
        <f>COUNTIF(Casos!F2:F26,"Media")</f>
        <v>4</v>
      </c>
    </row>
    <row r="7" spans="1:2" x14ac:dyDescent="0.2">
      <c r="A7" s="2" t="s">
        <v>7</v>
      </c>
      <c r="B7" s="2">
        <f>COUNTIF(Casos!H2:H26,"Sí")</f>
        <v>7</v>
      </c>
    </row>
    <row r="8" spans="1:2" x14ac:dyDescent="0.2">
      <c r="A8" s="3"/>
      <c r="B8" s="3"/>
    </row>
    <row r="9" spans="1:2" x14ac:dyDescent="0.2">
      <c r="A9" s="4" t="s">
        <v>8</v>
      </c>
      <c r="B9" s="4"/>
    </row>
    <row r="10" spans="1:2" x14ac:dyDescent="0.2">
      <c r="A10" s="2" t="s">
        <v>9</v>
      </c>
      <c r="B10" s="2">
        <f>COUNTIF(Casos!N2:N26,"Pasó")</f>
        <v>0</v>
      </c>
    </row>
    <row r="11" spans="1:2" x14ac:dyDescent="0.2">
      <c r="A11" s="2" t="s">
        <v>10</v>
      </c>
      <c r="B11" s="2">
        <f>COUNTIF(Casos!N2:N26,"Falló")</f>
        <v>0</v>
      </c>
    </row>
    <row r="12" spans="1:2" x14ac:dyDescent="0.2">
      <c r="A12" s="2" t="s">
        <v>11</v>
      </c>
      <c r="B12" s="2">
        <f>COUNTIF(Casos!N2:N26,"Bloqueado")</f>
        <v>0</v>
      </c>
    </row>
    <row r="13" spans="1:2" x14ac:dyDescent="0.2">
      <c r="A13" s="2" t="s">
        <v>12</v>
      </c>
      <c r="B13" s="2">
        <f>COUNTIF(Casos!N2:N26,"Pendiente")</f>
        <v>25</v>
      </c>
    </row>
    <row r="14" spans="1:2" x14ac:dyDescent="0.2">
      <c r="A14" s="2" t="s">
        <v>13</v>
      </c>
      <c r="B14" s="5">
        <f>IFERROR((B10+B11+B12)/B2,0)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7" customWidth="1"/>
    <col min="4" max="4" width="15" customWidth="1"/>
    <col min="5" max="5" width="10" customWidth="1"/>
    <col min="6" max="6" width="9" customWidth="1"/>
    <col min="7" max="7" width="18" customWidth="1"/>
    <col min="8" max="8" width="7" customWidth="1"/>
    <col min="9" max="9" width="26" customWidth="1"/>
    <col min="10" max="10" width="32" customWidth="1"/>
    <col min="11" max="11" width="46" customWidth="1"/>
    <col min="12" max="12" width="50" customWidth="1"/>
    <col min="13" max="13" width="18" customWidth="1"/>
    <col min="14" max="14" width="11" customWidth="1"/>
    <col min="15" max="15" width="10" customWidth="1"/>
    <col min="16" max="16" width="18" customWidth="1"/>
  </cols>
  <sheetData>
    <row r="1" spans="1:16" ht="27.75" customHeight="1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</row>
    <row r="2" spans="1:16" ht="78" x14ac:dyDescent="0.2">
      <c r="A2" s="7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272</v>
      </c>
      <c r="L2" s="8" t="s">
        <v>40</v>
      </c>
      <c r="M2" s="8" t="s">
        <v>34</v>
      </c>
      <c r="N2" s="8" t="s">
        <v>12</v>
      </c>
      <c r="O2" s="8"/>
      <c r="P2" s="8"/>
    </row>
    <row r="3" spans="1:16" ht="52" x14ac:dyDescent="0.2">
      <c r="A3" s="7" t="s">
        <v>41</v>
      </c>
      <c r="B3" s="8" t="s">
        <v>42</v>
      </c>
      <c r="C3" s="8" t="s">
        <v>32</v>
      </c>
      <c r="D3" s="8" t="s">
        <v>43</v>
      </c>
      <c r="E3" s="8" t="s">
        <v>44</v>
      </c>
      <c r="F3" s="8" t="s">
        <v>35</v>
      </c>
      <c r="G3" s="8" t="s">
        <v>45</v>
      </c>
      <c r="H3" s="8" t="s">
        <v>37</v>
      </c>
      <c r="I3" s="8" t="s">
        <v>46</v>
      </c>
      <c r="J3" s="8" t="s">
        <v>47</v>
      </c>
      <c r="K3" s="8" t="s">
        <v>48</v>
      </c>
      <c r="L3" s="8" t="s">
        <v>49</v>
      </c>
      <c r="M3" s="8" t="s">
        <v>44</v>
      </c>
      <c r="N3" s="8" t="s">
        <v>12</v>
      </c>
      <c r="O3" s="8"/>
      <c r="P3" s="8"/>
    </row>
    <row r="4" spans="1:16" ht="65" x14ac:dyDescent="0.2">
      <c r="A4" s="7" t="s">
        <v>50</v>
      </c>
      <c r="B4" s="8" t="s">
        <v>51</v>
      </c>
      <c r="C4" s="8" t="s">
        <v>32</v>
      </c>
      <c r="D4" s="8" t="s">
        <v>52</v>
      </c>
      <c r="E4" s="8" t="s">
        <v>53</v>
      </c>
      <c r="F4" s="8" t="s">
        <v>35</v>
      </c>
      <c r="G4" s="8" t="s">
        <v>54</v>
      </c>
      <c r="H4" s="8" t="s">
        <v>37</v>
      </c>
      <c r="I4" s="8" t="s">
        <v>55</v>
      </c>
      <c r="J4" s="8" t="s">
        <v>56</v>
      </c>
      <c r="K4" s="8" t="s">
        <v>57</v>
      </c>
      <c r="L4" s="8" t="s">
        <v>58</v>
      </c>
      <c r="M4" s="8" t="s">
        <v>53</v>
      </c>
      <c r="N4" s="8" t="s">
        <v>12</v>
      </c>
      <c r="O4" s="8"/>
      <c r="P4" s="8"/>
    </row>
    <row r="5" spans="1:16" ht="52" x14ac:dyDescent="0.2">
      <c r="A5" s="7" t="s">
        <v>59</v>
      </c>
      <c r="B5" s="8" t="s">
        <v>60</v>
      </c>
      <c r="C5" s="8" t="s">
        <v>32</v>
      </c>
      <c r="D5" s="8" t="s">
        <v>52</v>
      </c>
      <c r="E5" s="8" t="s">
        <v>53</v>
      </c>
      <c r="F5" s="8" t="s">
        <v>35</v>
      </c>
      <c r="G5" s="8" t="s">
        <v>61</v>
      </c>
      <c r="H5" s="8" t="s">
        <v>62</v>
      </c>
      <c r="I5" s="8" t="s">
        <v>63</v>
      </c>
      <c r="J5" s="8" t="s">
        <v>64</v>
      </c>
      <c r="K5" s="8" t="s">
        <v>65</v>
      </c>
      <c r="L5" s="8" t="s">
        <v>66</v>
      </c>
      <c r="M5" s="8" t="s">
        <v>67</v>
      </c>
      <c r="N5" s="8" t="s">
        <v>12</v>
      </c>
      <c r="O5" s="8"/>
      <c r="P5" s="8"/>
    </row>
    <row r="6" spans="1:16" ht="52" x14ac:dyDescent="0.2">
      <c r="A6" s="7" t="s">
        <v>68</v>
      </c>
      <c r="B6" s="8" t="s">
        <v>69</v>
      </c>
      <c r="C6" s="8" t="s">
        <v>32</v>
      </c>
      <c r="D6" s="8" t="s">
        <v>70</v>
      </c>
      <c r="E6" s="8" t="s">
        <v>71</v>
      </c>
      <c r="F6" s="8" t="s">
        <v>35</v>
      </c>
      <c r="G6" s="8" t="s">
        <v>72</v>
      </c>
      <c r="H6" s="8" t="s">
        <v>62</v>
      </c>
      <c r="I6" s="8" t="s">
        <v>46</v>
      </c>
      <c r="J6" s="8" t="s">
        <v>73</v>
      </c>
      <c r="K6" s="8" t="s">
        <v>74</v>
      </c>
      <c r="L6" s="8" t="s">
        <v>75</v>
      </c>
      <c r="M6" s="8" t="s">
        <v>76</v>
      </c>
      <c r="N6" s="8" t="s">
        <v>12</v>
      </c>
      <c r="O6" s="8"/>
      <c r="P6" s="8"/>
    </row>
    <row r="7" spans="1:16" ht="39" x14ac:dyDescent="0.2">
      <c r="A7" s="7" t="s">
        <v>77</v>
      </c>
      <c r="B7" s="8" t="s">
        <v>78</v>
      </c>
      <c r="C7" s="8" t="s">
        <v>32</v>
      </c>
      <c r="D7" s="8" t="s">
        <v>79</v>
      </c>
      <c r="E7" s="8" t="s">
        <v>80</v>
      </c>
      <c r="F7" s="8" t="s">
        <v>35</v>
      </c>
      <c r="G7" s="8" t="s">
        <v>45</v>
      </c>
      <c r="H7" s="8" t="s">
        <v>37</v>
      </c>
      <c r="I7" s="8" t="s">
        <v>81</v>
      </c>
      <c r="J7" s="8" t="s">
        <v>82</v>
      </c>
      <c r="K7" s="8" t="s">
        <v>273</v>
      </c>
      <c r="L7" s="8" t="s">
        <v>83</v>
      </c>
      <c r="M7" s="8"/>
      <c r="N7" s="8" t="s">
        <v>12</v>
      </c>
      <c r="O7" s="8"/>
      <c r="P7" s="8"/>
    </row>
    <row r="8" spans="1:16" ht="65" x14ac:dyDescent="0.2">
      <c r="A8" s="7" t="s">
        <v>84</v>
      </c>
      <c r="B8" s="8" t="s">
        <v>85</v>
      </c>
      <c r="C8" s="8" t="s">
        <v>32</v>
      </c>
      <c r="D8" s="8" t="s">
        <v>86</v>
      </c>
      <c r="E8" s="8" t="s">
        <v>80</v>
      </c>
      <c r="F8" s="8" t="s">
        <v>35</v>
      </c>
      <c r="G8" s="8" t="s">
        <v>61</v>
      </c>
      <c r="H8" s="8" t="s">
        <v>62</v>
      </c>
      <c r="I8" s="8" t="s">
        <v>87</v>
      </c>
      <c r="J8" s="8" t="s">
        <v>88</v>
      </c>
      <c r="K8" s="8" t="s">
        <v>89</v>
      </c>
      <c r="L8" s="8" t="s">
        <v>90</v>
      </c>
      <c r="M8" s="8" t="s">
        <v>91</v>
      </c>
      <c r="N8" s="8" t="s">
        <v>12</v>
      </c>
      <c r="O8" s="8"/>
      <c r="P8" s="8"/>
    </row>
    <row r="9" spans="1:16" ht="26" x14ac:dyDescent="0.2">
      <c r="A9" s="7" t="s">
        <v>92</v>
      </c>
      <c r="B9" s="8" t="s">
        <v>93</v>
      </c>
      <c r="C9" s="8" t="s">
        <v>32</v>
      </c>
      <c r="D9" s="8" t="s">
        <v>86</v>
      </c>
      <c r="E9" s="8" t="s">
        <v>94</v>
      </c>
      <c r="F9" s="8" t="s">
        <v>35</v>
      </c>
      <c r="G9" s="8" t="s">
        <v>95</v>
      </c>
      <c r="H9" s="8" t="s">
        <v>62</v>
      </c>
      <c r="I9" s="8" t="s">
        <v>96</v>
      </c>
      <c r="J9" s="8" t="s">
        <v>97</v>
      </c>
      <c r="K9" s="8" t="s">
        <v>98</v>
      </c>
      <c r="L9" s="8" t="s">
        <v>99</v>
      </c>
      <c r="M9" s="8"/>
      <c r="N9" s="8" t="s">
        <v>12</v>
      </c>
      <c r="O9" s="8"/>
      <c r="P9" s="8"/>
    </row>
    <row r="10" spans="1:16" ht="52" x14ac:dyDescent="0.2">
      <c r="A10" s="7" t="s">
        <v>100</v>
      </c>
      <c r="B10" s="8" t="s">
        <v>101</v>
      </c>
      <c r="C10" s="8" t="s">
        <v>32</v>
      </c>
      <c r="D10" s="8" t="s">
        <v>102</v>
      </c>
      <c r="E10" s="8" t="s">
        <v>103</v>
      </c>
      <c r="F10" s="8" t="s">
        <v>35</v>
      </c>
      <c r="G10" s="8" t="s">
        <v>72</v>
      </c>
      <c r="H10" s="8" t="s">
        <v>37</v>
      </c>
      <c r="I10" s="8" t="s">
        <v>104</v>
      </c>
      <c r="J10" s="8" t="s">
        <v>105</v>
      </c>
      <c r="K10" s="8" t="s">
        <v>106</v>
      </c>
      <c r="L10" s="8" t="s">
        <v>107</v>
      </c>
      <c r="M10" s="8" t="s">
        <v>103</v>
      </c>
      <c r="N10" s="8" t="s">
        <v>12</v>
      </c>
      <c r="O10" s="8"/>
      <c r="P10" s="8"/>
    </row>
    <row r="11" spans="1:16" ht="39" x14ac:dyDescent="0.2">
      <c r="A11" s="7" t="s">
        <v>108</v>
      </c>
      <c r="B11" s="8" t="s">
        <v>109</v>
      </c>
      <c r="C11" s="8" t="s">
        <v>32</v>
      </c>
      <c r="D11" s="8" t="s">
        <v>110</v>
      </c>
      <c r="E11" s="8" t="s">
        <v>103</v>
      </c>
      <c r="F11" s="8" t="s">
        <v>35</v>
      </c>
      <c r="G11" s="8" t="s">
        <v>111</v>
      </c>
      <c r="H11" s="8" t="s">
        <v>62</v>
      </c>
      <c r="I11" s="8" t="s">
        <v>112</v>
      </c>
      <c r="J11" s="8" t="s">
        <v>113</v>
      </c>
      <c r="K11" s="8" t="s">
        <v>114</v>
      </c>
      <c r="L11" s="8" t="s">
        <v>115</v>
      </c>
      <c r="M11" s="8" t="s">
        <v>103</v>
      </c>
      <c r="N11" s="8" t="s">
        <v>12</v>
      </c>
      <c r="O11" s="8"/>
      <c r="P11" s="8"/>
    </row>
    <row r="12" spans="1:16" ht="52" x14ac:dyDescent="0.2">
      <c r="A12" s="7" t="s">
        <v>116</v>
      </c>
      <c r="B12" s="8" t="s">
        <v>117</v>
      </c>
      <c r="C12" s="8" t="s">
        <v>32</v>
      </c>
      <c r="D12" s="8" t="s">
        <v>118</v>
      </c>
      <c r="E12" s="8" t="s">
        <v>94</v>
      </c>
      <c r="F12" s="8" t="s">
        <v>35</v>
      </c>
      <c r="G12" s="8" t="s">
        <v>45</v>
      </c>
      <c r="H12" s="8" t="s">
        <v>62</v>
      </c>
      <c r="I12" s="8" t="s">
        <v>46</v>
      </c>
      <c r="J12" s="8" t="s">
        <v>119</v>
      </c>
      <c r="K12" s="8" t="s">
        <v>120</v>
      </c>
      <c r="L12" s="8" t="s">
        <v>121</v>
      </c>
      <c r="M12" s="8" t="s">
        <v>94</v>
      </c>
      <c r="N12" s="8" t="s">
        <v>12</v>
      </c>
      <c r="O12" s="8"/>
      <c r="P12" s="8"/>
    </row>
    <row r="13" spans="1:16" ht="78" x14ac:dyDescent="0.2">
      <c r="A13" s="7" t="s">
        <v>122</v>
      </c>
      <c r="B13" s="8" t="s">
        <v>123</v>
      </c>
      <c r="C13" s="8" t="s">
        <v>32</v>
      </c>
      <c r="D13" s="8" t="s">
        <v>124</v>
      </c>
      <c r="E13" s="8" t="s">
        <v>125</v>
      </c>
      <c r="F13" s="8" t="s">
        <v>35</v>
      </c>
      <c r="G13" s="8" t="s">
        <v>61</v>
      </c>
      <c r="H13" s="8" t="s">
        <v>62</v>
      </c>
      <c r="I13" s="8" t="s">
        <v>46</v>
      </c>
      <c r="J13" s="8" t="s">
        <v>126</v>
      </c>
      <c r="K13" s="8" t="s">
        <v>127</v>
      </c>
      <c r="L13" s="8" t="s">
        <v>128</v>
      </c>
      <c r="M13" s="8" t="s">
        <v>129</v>
      </c>
      <c r="N13" s="8" t="s">
        <v>12</v>
      </c>
      <c r="O13" s="8"/>
      <c r="P13" s="8"/>
    </row>
    <row r="14" spans="1:16" ht="65" x14ac:dyDescent="0.2">
      <c r="A14" s="7" t="s">
        <v>130</v>
      </c>
      <c r="B14" s="8" t="s">
        <v>131</v>
      </c>
      <c r="C14" s="8" t="s">
        <v>32</v>
      </c>
      <c r="D14" s="8" t="s">
        <v>132</v>
      </c>
      <c r="E14" s="8" t="s">
        <v>133</v>
      </c>
      <c r="F14" s="8" t="s">
        <v>35</v>
      </c>
      <c r="G14" s="8" t="s">
        <v>45</v>
      </c>
      <c r="H14" s="8" t="s">
        <v>62</v>
      </c>
      <c r="I14" s="8" t="s">
        <v>46</v>
      </c>
      <c r="J14" s="8" t="s">
        <v>134</v>
      </c>
      <c r="K14" s="8" t="s">
        <v>135</v>
      </c>
      <c r="L14" s="8" t="s">
        <v>136</v>
      </c>
      <c r="M14" s="8" t="s">
        <v>133</v>
      </c>
      <c r="N14" s="8" t="s">
        <v>12</v>
      </c>
      <c r="O14" s="8"/>
      <c r="P14" s="8"/>
    </row>
    <row r="15" spans="1:16" ht="78" x14ac:dyDescent="0.2">
      <c r="A15" s="7" t="s">
        <v>137</v>
      </c>
      <c r="B15" s="8" t="s">
        <v>138</v>
      </c>
      <c r="C15" s="8" t="s">
        <v>32</v>
      </c>
      <c r="D15" s="8" t="s">
        <v>139</v>
      </c>
      <c r="E15" s="8" t="s">
        <v>140</v>
      </c>
      <c r="F15" s="8" t="s">
        <v>35</v>
      </c>
      <c r="G15" s="8" t="s">
        <v>95</v>
      </c>
      <c r="H15" s="8" t="s">
        <v>62</v>
      </c>
      <c r="I15" s="8" t="s">
        <v>141</v>
      </c>
      <c r="J15" s="8" t="s">
        <v>142</v>
      </c>
      <c r="K15" s="8" t="s">
        <v>143</v>
      </c>
      <c r="L15" s="8" t="s">
        <v>144</v>
      </c>
      <c r="M15" s="8" t="s">
        <v>140</v>
      </c>
      <c r="N15" s="8" t="s">
        <v>12</v>
      </c>
      <c r="O15" s="8"/>
      <c r="P15" s="8"/>
    </row>
    <row r="16" spans="1:16" ht="39" x14ac:dyDescent="0.2">
      <c r="A16" s="7" t="s">
        <v>145</v>
      </c>
      <c r="B16" s="8" t="s">
        <v>146</v>
      </c>
      <c r="C16" s="8" t="s">
        <v>32</v>
      </c>
      <c r="D16" s="8" t="s">
        <v>147</v>
      </c>
      <c r="E16" s="8" t="s">
        <v>148</v>
      </c>
      <c r="F16" s="8" t="s">
        <v>35</v>
      </c>
      <c r="G16" s="8" t="s">
        <v>149</v>
      </c>
      <c r="H16" s="8" t="s">
        <v>37</v>
      </c>
      <c r="I16" s="8" t="s">
        <v>150</v>
      </c>
      <c r="J16" s="8" t="s">
        <v>151</v>
      </c>
      <c r="K16" s="8" t="s">
        <v>152</v>
      </c>
      <c r="L16" s="8" t="s">
        <v>153</v>
      </c>
      <c r="M16" s="8" t="s">
        <v>148</v>
      </c>
      <c r="N16" s="8" t="s">
        <v>12</v>
      </c>
      <c r="O16" s="8"/>
      <c r="P16" s="8"/>
    </row>
    <row r="17" spans="1:16" ht="65" x14ac:dyDescent="0.2">
      <c r="A17" s="7" t="s">
        <v>154</v>
      </c>
      <c r="B17" s="8" t="s">
        <v>155</v>
      </c>
      <c r="C17" s="8" t="s">
        <v>32</v>
      </c>
      <c r="D17" s="8" t="s">
        <v>156</v>
      </c>
      <c r="E17" s="8" t="s">
        <v>157</v>
      </c>
      <c r="F17" s="8" t="s">
        <v>35</v>
      </c>
      <c r="G17" s="8" t="s">
        <v>72</v>
      </c>
      <c r="H17" s="8" t="s">
        <v>62</v>
      </c>
      <c r="I17" s="8" t="s">
        <v>158</v>
      </c>
      <c r="J17" s="8" t="s">
        <v>159</v>
      </c>
      <c r="K17" s="8" t="s">
        <v>160</v>
      </c>
      <c r="L17" s="8" t="s">
        <v>161</v>
      </c>
      <c r="M17" s="8" t="s">
        <v>162</v>
      </c>
      <c r="N17" s="8" t="s">
        <v>12</v>
      </c>
      <c r="O17" s="8"/>
      <c r="P17" s="8"/>
    </row>
    <row r="18" spans="1:16" ht="78" x14ac:dyDescent="0.2">
      <c r="A18" s="7" t="s">
        <v>163</v>
      </c>
      <c r="B18" s="8" t="s">
        <v>164</v>
      </c>
      <c r="C18" s="8" t="s">
        <v>32</v>
      </c>
      <c r="D18" s="8" t="s">
        <v>165</v>
      </c>
      <c r="E18" s="8" t="s">
        <v>166</v>
      </c>
      <c r="F18" s="8" t="s">
        <v>35</v>
      </c>
      <c r="G18" s="8" t="s">
        <v>167</v>
      </c>
      <c r="H18" s="8" t="s">
        <v>62</v>
      </c>
      <c r="I18" s="8" t="s">
        <v>168</v>
      </c>
      <c r="J18" s="8" t="s">
        <v>169</v>
      </c>
      <c r="K18" s="8" t="s">
        <v>170</v>
      </c>
      <c r="L18" s="8" t="s">
        <v>171</v>
      </c>
      <c r="M18" s="8" t="s">
        <v>166</v>
      </c>
      <c r="N18" s="8" t="s">
        <v>12</v>
      </c>
      <c r="O18" s="8"/>
      <c r="P18" s="8"/>
    </row>
    <row r="19" spans="1:16" ht="39" x14ac:dyDescent="0.2">
      <c r="A19" s="7" t="s">
        <v>172</v>
      </c>
      <c r="B19" s="8" t="s">
        <v>173</v>
      </c>
      <c r="C19" s="8" t="s">
        <v>32</v>
      </c>
      <c r="D19" s="8" t="s">
        <v>174</v>
      </c>
      <c r="E19" s="8" t="s">
        <v>175</v>
      </c>
      <c r="F19" s="8" t="s">
        <v>176</v>
      </c>
      <c r="G19" s="8" t="s">
        <v>177</v>
      </c>
      <c r="H19" s="8" t="s">
        <v>62</v>
      </c>
      <c r="I19" s="8" t="s">
        <v>104</v>
      </c>
      <c r="J19" s="8" t="s">
        <v>178</v>
      </c>
      <c r="K19" s="8" t="s">
        <v>179</v>
      </c>
      <c r="L19" s="8" t="s">
        <v>180</v>
      </c>
      <c r="M19" s="8" t="s">
        <v>175</v>
      </c>
      <c r="N19" s="8" t="s">
        <v>12</v>
      </c>
      <c r="O19" s="8"/>
      <c r="P19" s="8"/>
    </row>
    <row r="20" spans="1:16" ht="26" x14ac:dyDescent="0.2">
      <c r="A20" s="7" t="s">
        <v>181</v>
      </c>
      <c r="B20" s="8" t="s">
        <v>182</v>
      </c>
      <c r="C20" s="8" t="s">
        <v>32</v>
      </c>
      <c r="D20" s="8" t="s">
        <v>183</v>
      </c>
      <c r="E20" s="8"/>
      <c r="F20" s="8" t="s">
        <v>176</v>
      </c>
      <c r="G20" s="8" t="s">
        <v>184</v>
      </c>
      <c r="H20" s="8" t="s">
        <v>62</v>
      </c>
      <c r="I20" s="8" t="s">
        <v>185</v>
      </c>
      <c r="J20" s="8" t="s">
        <v>186</v>
      </c>
      <c r="K20" s="8" t="s">
        <v>187</v>
      </c>
      <c r="L20" s="8" t="s">
        <v>188</v>
      </c>
      <c r="M20" s="8"/>
      <c r="N20" s="8" t="s">
        <v>12</v>
      </c>
      <c r="O20" s="8"/>
      <c r="P20" s="8"/>
    </row>
    <row r="21" spans="1:16" ht="52" x14ac:dyDescent="0.2">
      <c r="A21" s="7" t="s">
        <v>189</v>
      </c>
      <c r="B21" s="8" t="s">
        <v>190</v>
      </c>
      <c r="C21" s="8" t="s">
        <v>191</v>
      </c>
      <c r="D21" s="8" t="s">
        <v>192</v>
      </c>
      <c r="E21" s="8" t="s">
        <v>44</v>
      </c>
      <c r="F21" s="8" t="s">
        <v>35</v>
      </c>
      <c r="G21" s="8" t="s">
        <v>45</v>
      </c>
      <c r="H21" s="8" t="s">
        <v>37</v>
      </c>
      <c r="I21" s="8" t="s">
        <v>193</v>
      </c>
      <c r="J21" s="8" t="s">
        <v>194</v>
      </c>
      <c r="K21" s="8" t="s">
        <v>195</v>
      </c>
      <c r="L21" s="8" t="s">
        <v>196</v>
      </c>
      <c r="M21" s="8"/>
      <c r="N21" s="8" t="s">
        <v>12</v>
      </c>
      <c r="O21" s="8"/>
      <c r="P21" s="8"/>
    </row>
    <row r="22" spans="1:16" ht="52" x14ac:dyDescent="0.2">
      <c r="A22" s="7" t="s">
        <v>197</v>
      </c>
      <c r="B22" s="8" t="s">
        <v>198</v>
      </c>
      <c r="C22" s="8" t="s">
        <v>191</v>
      </c>
      <c r="D22" s="8" t="s">
        <v>199</v>
      </c>
      <c r="E22" s="8"/>
      <c r="F22" s="8" t="s">
        <v>35</v>
      </c>
      <c r="G22" s="8" t="s">
        <v>72</v>
      </c>
      <c r="H22" s="8" t="s">
        <v>62</v>
      </c>
      <c r="I22" s="8" t="s">
        <v>200</v>
      </c>
      <c r="J22" s="8" t="s">
        <v>201</v>
      </c>
      <c r="K22" s="8" t="s">
        <v>202</v>
      </c>
      <c r="L22" s="8" t="s">
        <v>203</v>
      </c>
      <c r="M22" s="8"/>
      <c r="N22" s="8" t="s">
        <v>12</v>
      </c>
      <c r="O22" s="8"/>
      <c r="P22" s="8"/>
    </row>
    <row r="23" spans="1:16" ht="52" x14ac:dyDescent="0.2">
      <c r="A23" s="7" t="s">
        <v>204</v>
      </c>
      <c r="B23" s="8" t="s">
        <v>205</v>
      </c>
      <c r="C23" s="8" t="s">
        <v>191</v>
      </c>
      <c r="D23" s="8" t="s">
        <v>206</v>
      </c>
      <c r="E23" s="8" t="s">
        <v>103</v>
      </c>
      <c r="F23" s="8" t="s">
        <v>35</v>
      </c>
      <c r="G23" s="8" t="s">
        <v>72</v>
      </c>
      <c r="H23" s="8" t="s">
        <v>62</v>
      </c>
      <c r="I23" s="8" t="s">
        <v>207</v>
      </c>
      <c r="J23" s="8" t="s">
        <v>208</v>
      </c>
      <c r="K23" s="8" t="s">
        <v>209</v>
      </c>
      <c r="L23" s="8" t="s">
        <v>210</v>
      </c>
      <c r="M23" s="8" t="s">
        <v>103</v>
      </c>
      <c r="N23" s="8" t="s">
        <v>12</v>
      </c>
      <c r="O23" s="8"/>
      <c r="P23" s="8"/>
    </row>
    <row r="24" spans="1:16" ht="52" x14ac:dyDescent="0.2">
      <c r="A24" s="7" t="s">
        <v>211</v>
      </c>
      <c r="B24" s="8" t="s">
        <v>212</v>
      </c>
      <c r="C24" s="8" t="s">
        <v>191</v>
      </c>
      <c r="D24" s="8" t="s">
        <v>213</v>
      </c>
      <c r="E24" s="8" t="s">
        <v>214</v>
      </c>
      <c r="F24" s="8" t="s">
        <v>176</v>
      </c>
      <c r="G24" s="8" t="s">
        <v>95</v>
      </c>
      <c r="H24" s="8" t="s">
        <v>62</v>
      </c>
      <c r="I24" s="8" t="s">
        <v>215</v>
      </c>
      <c r="J24" s="8" t="s">
        <v>216</v>
      </c>
      <c r="K24" s="8" t="s">
        <v>217</v>
      </c>
      <c r="L24" s="8" t="s">
        <v>218</v>
      </c>
      <c r="M24" s="8" t="s">
        <v>219</v>
      </c>
      <c r="N24" s="8" t="s">
        <v>12</v>
      </c>
      <c r="O24" s="8"/>
      <c r="P24" s="8"/>
    </row>
    <row r="25" spans="1:16" ht="78" x14ac:dyDescent="0.2">
      <c r="A25" s="7" t="s">
        <v>220</v>
      </c>
      <c r="B25" s="8" t="s">
        <v>221</v>
      </c>
      <c r="C25" s="8" t="s">
        <v>191</v>
      </c>
      <c r="D25" s="8" t="s">
        <v>222</v>
      </c>
      <c r="E25" s="8" t="s">
        <v>223</v>
      </c>
      <c r="F25" s="8" t="s">
        <v>35</v>
      </c>
      <c r="G25" s="8" t="s">
        <v>45</v>
      </c>
      <c r="H25" s="8" t="s">
        <v>62</v>
      </c>
      <c r="I25" s="8" t="s">
        <v>224</v>
      </c>
      <c r="J25" s="8" t="s">
        <v>225</v>
      </c>
      <c r="K25" s="8" t="s">
        <v>226</v>
      </c>
      <c r="L25" s="8" t="s">
        <v>227</v>
      </c>
      <c r="M25" s="8" t="s">
        <v>223</v>
      </c>
      <c r="N25" s="8" t="s">
        <v>12</v>
      </c>
      <c r="O25" s="8"/>
      <c r="P25" s="8"/>
    </row>
    <row r="26" spans="1:16" ht="39" x14ac:dyDescent="0.2">
      <c r="A26" s="7" t="s">
        <v>228</v>
      </c>
      <c r="B26" s="8" t="s">
        <v>229</v>
      </c>
      <c r="C26" s="8" t="s">
        <v>191</v>
      </c>
      <c r="D26" s="8" t="s">
        <v>230</v>
      </c>
      <c r="E26" s="8"/>
      <c r="F26" s="8" t="s">
        <v>176</v>
      </c>
      <c r="G26" s="8" t="s">
        <v>231</v>
      </c>
      <c r="H26" s="8" t="s">
        <v>62</v>
      </c>
      <c r="I26" s="8" t="s">
        <v>232</v>
      </c>
      <c r="J26" s="8" t="s">
        <v>233</v>
      </c>
      <c r="K26" s="8" t="s">
        <v>234</v>
      </c>
      <c r="L26" s="8" t="s">
        <v>235</v>
      </c>
      <c r="M26" s="8"/>
      <c r="N26" s="8" t="s">
        <v>12</v>
      </c>
      <c r="O26" s="8"/>
      <c r="P26" s="8"/>
    </row>
  </sheetData>
  <autoFilter ref="A1:P26" xr:uid="{00000000-0009-0000-0000-000001000000}"/>
  <conditionalFormatting sqref="F2:F26">
    <cfRule type="cellIs" dxfId="7" priority="2" operator="equal">
      <formula>"Alta"</formula>
    </cfRule>
    <cfRule type="cellIs" dxfId="6" priority="3" operator="equal">
      <formula>"Media"</formula>
    </cfRule>
    <cfRule type="cellIs" dxfId="5" priority="4" operator="equal">
      <formula>"Baja"</formula>
    </cfRule>
  </conditionalFormatting>
  <conditionalFormatting sqref="H2:H26">
    <cfRule type="cellIs" dxfId="4" priority="8" operator="equal">
      <formula>"Sí"</formula>
    </cfRule>
  </conditionalFormatting>
  <conditionalFormatting sqref="N2:N26">
    <cfRule type="cellIs" dxfId="3" priority="5" operator="equal">
      <formula>"Pasó"</formula>
    </cfRule>
    <cfRule type="cellIs" dxfId="2" priority="6" operator="equal">
      <formula>"Falló"</formula>
    </cfRule>
    <cfRule type="cellIs" dxfId="1" priority="7" operator="equal">
      <formula>"Bloqueado"</formula>
    </cfRule>
  </conditionalFormatting>
  <dataValidations count="1">
    <dataValidation type="list" allowBlank="1" sqref="N2:N26" xr:uid="{00000000-0002-0000-0100-000000000000}">
      <formula1>"Pendiente,Pasó,Falló,Bloqueado,No ejecutado"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2" sqref="H42"/>
    </sheetView>
  </sheetViews>
  <sheetFormatPr baseColWidth="10" defaultColWidth="8.6640625" defaultRowHeight="15" x14ac:dyDescent="0.2"/>
  <cols>
    <col min="1" max="1" width="9" customWidth="1"/>
    <col min="2" max="20" width="8" customWidth="1"/>
  </cols>
  <sheetData>
    <row r="1" spans="1:20" x14ac:dyDescent="0.2">
      <c r="A1" s="9" t="s">
        <v>236</v>
      </c>
      <c r="B1" s="10" t="s">
        <v>237</v>
      </c>
      <c r="C1" s="10" t="s">
        <v>238</v>
      </c>
      <c r="D1" s="10" t="s">
        <v>52</v>
      </c>
      <c r="E1" s="10" t="s">
        <v>174</v>
      </c>
      <c r="F1" s="10" t="s">
        <v>239</v>
      </c>
      <c r="G1" s="10" t="s">
        <v>79</v>
      </c>
      <c r="H1" s="10" t="s">
        <v>118</v>
      </c>
      <c r="I1" s="10" t="s">
        <v>124</v>
      </c>
      <c r="J1" s="10" t="s">
        <v>132</v>
      </c>
      <c r="K1" s="10" t="s">
        <v>102</v>
      </c>
      <c r="L1" s="10" t="s">
        <v>183</v>
      </c>
      <c r="M1" s="10" t="s">
        <v>147</v>
      </c>
      <c r="N1" s="10" t="s">
        <v>240</v>
      </c>
      <c r="O1" s="10" t="s">
        <v>241</v>
      </c>
      <c r="P1" s="10" t="s">
        <v>242</v>
      </c>
      <c r="Q1" s="10" t="s">
        <v>243</v>
      </c>
      <c r="R1" s="10" t="s">
        <v>244</v>
      </c>
      <c r="S1" s="10" t="s">
        <v>245</v>
      </c>
      <c r="T1" s="10" t="s">
        <v>246</v>
      </c>
    </row>
    <row r="2" spans="1:20" x14ac:dyDescent="0.2">
      <c r="A2" s="11" t="s">
        <v>30</v>
      </c>
      <c r="B2" s="12"/>
      <c r="C2" s="12" t="s">
        <v>247</v>
      </c>
      <c r="D2" s="12"/>
      <c r="E2" s="12"/>
      <c r="F2" s="12" t="s">
        <v>247</v>
      </c>
      <c r="G2" s="12" t="s">
        <v>247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2">
      <c r="A3" s="11" t="s">
        <v>41</v>
      </c>
      <c r="B3" s="12" t="s">
        <v>247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 t="s">
        <v>247</v>
      </c>
      <c r="O3" s="12"/>
      <c r="P3" s="12"/>
      <c r="Q3" s="12"/>
      <c r="R3" s="12"/>
      <c r="S3" s="12"/>
      <c r="T3" s="12"/>
    </row>
    <row r="4" spans="1:20" x14ac:dyDescent="0.2">
      <c r="A4" s="11" t="s">
        <v>50</v>
      </c>
      <c r="B4" s="12"/>
      <c r="C4" s="12"/>
      <c r="D4" s="12" t="s">
        <v>247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2">
      <c r="A5" s="11" t="s">
        <v>59</v>
      </c>
      <c r="B5" s="12"/>
      <c r="C5" s="12"/>
      <c r="D5" s="12" t="s">
        <v>247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2">
      <c r="A6" s="11" t="s">
        <v>68</v>
      </c>
      <c r="B6" s="12"/>
      <c r="C6" s="12" t="s">
        <v>247</v>
      </c>
      <c r="D6" s="12" t="s">
        <v>247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 t="s">
        <v>247</v>
      </c>
      <c r="R6" s="12"/>
      <c r="S6" s="12" t="s">
        <v>247</v>
      </c>
      <c r="T6" s="12"/>
    </row>
    <row r="7" spans="1:20" x14ac:dyDescent="0.2">
      <c r="A7" s="11" t="s">
        <v>77</v>
      </c>
      <c r="B7" s="12"/>
      <c r="C7" s="12"/>
      <c r="D7" s="12"/>
      <c r="E7" s="12"/>
      <c r="F7" s="12"/>
      <c r="G7" s="12" t="s">
        <v>247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x14ac:dyDescent="0.2">
      <c r="A8" s="11" t="s">
        <v>84</v>
      </c>
      <c r="B8" s="12"/>
      <c r="C8" s="12"/>
      <c r="D8" s="12"/>
      <c r="E8" s="12"/>
      <c r="F8" s="12"/>
      <c r="G8" s="12" t="s">
        <v>247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 t="s">
        <v>247</v>
      </c>
    </row>
    <row r="9" spans="1:20" x14ac:dyDescent="0.2">
      <c r="A9" s="11" t="s">
        <v>92</v>
      </c>
      <c r="B9" s="12"/>
      <c r="C9" s="12"/>
      <c r="D9" s="12"/>
      <c r="E9" s="12"/>
      <c r="F9" s="12"/>
      <c r="G9" s="12" t="s">
        <v>247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 t="s">
        <v>247</v>
      </c>
    </row>
    <row r="10" spans="1:20" x14ac:dyDescent="0.2">
      <c r="A10" s="11" t="s">
        <v>100</v>
      </c>
      <c r="B10" s="12"/>
      <c r="C10" s="12"/>
      <c r="D10" s="12"/>
      <c r="E10" s="12"/>
      <c r="F10" s="12"/>
      <c r="G10" s="12"/>
      <c r="H10" s="12"/>
      <c r="I10" s="12"/>
      <c r="J10" s="12"/>
      <c r="K10" s="12" t="s">
        <v>247</v>
      </c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2">
      <c r="A11" s="11" t="s">
        <v>108</v>
      </c>
      <c r="B11" s="12"/>
      <c r="C11" s="12"/>
      <c r="D11" s="12"/>
      <c r="E11" s="12"/>
      <c r="F11" s="12"/>
      <c r="G11" s="12" t="s">
        <v>247</v>
      </c>
      <c r="H11" s="12"/>
      <c r="I11" s="12"/>
      <c r="J11" s="12"/>
      <c r="K11" s="12" t="s">
        <v>247</v>
      </c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2">
      <c r="A12" s="11" t="s">
        <v>116</v>
      </c>
      <c r="B12" s="12"/>
      <c r="C12" s="12"/>
      <c r="D12" s="12"/>
      <c r="E12" s="12"/>
      <c r="F12" s="12"/>
      <c r="G12" s="12"/>
      <c r="H12" s="12" t="s">
        <v>247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2">
      <c r="A13" s="11" t="s">
        <v>122</v>
      </c>
      <c r="B13" s="12"/>
      <c r="C13" s="12"/>
      <c r="D13" s="12"/>
      <c r="E13" s="12"/>
      <c r="F13" s="12"/>
      <c r="G13" s="12"/>
      <c r="H13" s="12"/>
      <c r="I13" s="12" t="s">
        <v>247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2">
      <c r="A14" s="11" t="s">
        <v>130</v>
      </c>
      <c r="B14" s="12"/>
      <c r="C14" s="12"/>
      <c r="D14" s="12"/>
      <c r="E14" s="12"/>
      <c r="F14" s="12"/>
      <c r="G14" s="12"/>
      <c r="H14" s="12"/>
      <c r="I14" s="12"/>
      <c r="J14" s="12" t="s">
        <v>247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2">
      <c r="A15" s="11" t="s">
        <v>137</v>
      </c>
      <c r="B15" s="12"/>
      <c r="C15" s="12"/>
      <c r="D15" s="12"/>
      <c r="E15" s="12"/>
      <c r="F15" s="12"/>
      <c r="G15" s="12"/>
      <c r="H15" s="12"/>
      <c r="I15" s="12"/>
      <c r="J15" s="12" t="s">
        <v>247</v>
      </c>
      <c r="K15" s="12"/>
      <c r="L15" s="12"/>
      <c r="M15" s="12"/>
      <c r="N15" s="12"/>
      <c r="O15" s="12"/>
      <c r="P15" s="12"/>
      <c r="Q15" s="12"/>
      <c r="R15" s="12"/>
      <c r="S15" s="12"/>
      <c r="T15" s="12" t="s">
        <v>247</v>
      </c>
    </row>
    <row r="16" spans="1:20" x14ac:dyDescent="0.2">
      <c r="A16" s="11" t="s">
        <v>145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 t="s">
        <v>247</v>
      </c>
      <c r="N16" s="12"/>
      <c r="O16" s="12"/>
      <c r="P16" s="12"/>
      <c r="Q16" s="12"/>
      <c r="R16" s="12"/>
      <c r="S16" s="12"/>
      <c r="T16" s="12"/>
    </row>
    <row r="17" spans="1:20" x14ac:dyDescent="0.2">
      <c r="A17" s="11" t="s">
        <v>154</v>
      </c>
      <c r="B17" s="12"/>
      <c r="C17" s="12"/>
      <c r="D17" s="12"/>
      <c r="E17" s="12"/>
      <c r="F17" s="12"/>
      <c r="G17" s="12"/>
      <c r="H17" s="12" t="s">
        <v>247</v>
      </c>
      <c r="I17" s="12"/>
      <c r="J17" s="12"/>
      <c r="K17" s="12"/>
      <c r="L17" s="12"/>
      <c r="M17" s="12"/>
      <c r="N17" s="12" t="s">
        <v>247</v>
      </c>
      <c r="O17" s="12"/>
      <c r="P17" s="12"/>
      <c r="Q17" s="12"/>
      <c r="R17" s="12"/>
      <c r="S17" s="12"/>
      <c r="T17" s="12"/>
    </row>
    <row r="18" spans="1:20" x14ac:dyDescent="0.2">
      <c r="A18" s="11" t="s">
        <v>163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 t="s">
        <v>247</v>
      </c>
      <c r="N18" s="12"/>
      <c r="O18" s="12" t="s">
        <v>247</v>
      </c>
      <c r="P18" s="12"/>
      <c r="Q18" s="12"/>
      <c r="R18" s="12"/>
      <c r="S18" s="12" t="s">
        <v>247</v>
      </c>
      <c r="T18" s="12"/>
    </row>
    <row r="19" spans="1:20" x14ac:dyDescent="0.2">
      <c r="A19" s="11" t="s">
        <v>172</v>
      </c>
      <c r="B19" s="12"/>
      <c r="C19" s="12"/>
      <c r="D19" s="12"/>
      <c r="E19" s="12" t="s">
        <v>247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">
      <c r="A20" s="11" t="s">
        <v>181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 t="s">
        <v>247</v>
      </c>
      <c r="M20" s="12"/>
      <c r="N20" s="12"/>
      <c r="O20" s="12"/>
      <c r="P20" s="12"/>
      <c r="Q20" s="12"/>
      <c r="R20" s="12"/>
      <c r="S20" s="12"/>
      <c r="T20" s="12"/>
    </row>
    <row r="21" spans="1:20" x14ac:dyDescent="0.2">
      <c r="A21" s="11" t="s">
        <v>189</v>
      </c>
      <c r="B21" s="12" t="s">
        <v>247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">
      <c r="A22" s="11" t="s">
        <v>197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">
      <c r="A23" s="11" t="s">
        <v>204</v>
      </c>
      <c r="B23" s="12"/>
      <c r="C23" s="12"/>
      <c r="D23" s="12"/>
      <c r="E23" s="12"/>
      <c r="F23" s="12"/>
      <c r="G23" s="12"/>
      <c r="H23" s="12"/>
      <c r="I23" s="12"/>
      <c r="J23" s="12"/>
      <c r="K23" s="12" t="s">
        <v>247</v>
      </c>
      <c r="L23" s="12"/>
      <c r="M23" s="12"/>
      <c r="N23" s="12"/>
      <c r="O23" s="12"/>
      <c r="P23" s="12"/>
      <c r="Q23" s="12"/>
      <c r="R23" s="12"/>
      <c r="S23" s="12"/>
      <c r="T23" s="12"/>
    </row>
    <row r="24" spans="1:20" x14ac:dyDescent="0.2">
      <c r="A24" s="11" t="s">
        <v>211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 t="s">
        <v>247</v>
      </c>
      <c r="S24" s="12"/>
      <c r="T24" s="12" t="s">
        <v>247</v>
      </c>
    </row>
    <row r="25" spans="1:20" x14ac:dyDescent="0.2">
      <c r="A25" s="11" t="s">
        <v>220</v>
      </c>
      <c r="B25" s="12"/>
      <c r="C25" s="12"/>
      <c r="D25" s="12"/>
      <c r="E25" s="12" t="s">
        <v>247</v>
      </c>
      <c r="F25" s="12"/>
      <c r="G25" s="12"/>
      <c r="H25" s="12"/>
      <c r="I25" s="12" t="s">
        <v>247</v>
      </c>
      <c r="J25" s="12"/>
      <c r="K25" s="12"/>
      <c r="L25" s="12"/>
      <c r="M25" s="12"/>
      <c r="N25" s="12"/>
      <c r="O25" s="12"/>
      <c r="P25" s="12" t="s">
        <v>247</v>
      </c>
      <c r="Q25" s="12" t="s">
        <v>247</v>
      </c>
      <c r="R25" s="12"/>
      <c r="S25" s="12" t="s">
        <v>247</v>
      </c>
      <c r="T25" s="12"/>
    </row>
    <row r="26" spans="1:20" x14ac:dyDescent="0.2">
      <c r="A26" s="11" t="s">
        <v>228</v>
      </c>
      <c r="B26" s="12"/>
      <c r="C26" s="12" t="s">
        <v>247</v>
      </c>
      <c r="D26" s="12" t="s">
        <v>247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">
      <c r="A27" s="13" t="s">
        <v>248</v>
      </c>
      <c r="B27" s="14">
        <f t="shared" ref="B27:T27" si="0">COUNTIF(B2:B26,"X")</f>
        <v>2</v>
      </c>
      <c r="C27" s="14">
        <f t="shared" si="0"/>
        <v>3</v>
      </c>
      <c r="D27" s="14">
        <f t="shared" si="0"/>
        <v>4</v>
      </c>
      <c r="E27" s="14">
        <f t="shared" si="0"/>
        <v>2</v>
      </c>
      <c r="F27" s="14">
        <f t="shared" si="0"/>
        <v>1</v>
      </c>
      <c r="G27" s="14">
        <f t="shared" si="0"/>
        <v>5</v>
      </c>
      <c r="H27" s="14">
        <f t="shared" si="0"/>
        <v>2</v>
      </c>
      <c r="I27" s="14">
        <f t="shared" si="0"/>
        <v>2</v>
      </c>
      <c r="J27" s="14">
        <f t="shared" si="0"/>
        <v>2</v>
      </c>
      <c r="K27" s="14">
        <f t="shared" si="0"/>
        <v>3</v>
      </c>
      <c r="L27" s="14">
        <f t="shared" si="0"/>
        <v>1</v>
      </c>
      <c r="M27" s="14">
        <f t="shared" si="0"/>
        <v>2</v>
      </c>
      <c r="N27" s="14">
        <f t="shared" si="0"/>
        <v>2</v>
      </c>
      <c r="O27" s="14">
        <f t="shared" si="0"/>
        <v>1</v>
      </c>
      <c r="P27" s="14">
        <f t="shared" si="0"/>
        <v>1</v>
      </c>
      <c r="Q27" s="14">
        <f t="shared" si="0"/>
        <v>2</v>
      </c>
      <c r="R27" s="14">
        <f t="shared" si="0"/>
        <v>1</v>
      </c>
      <c r="S27" s="14">
        <f t="shared" si="0"/>
        <v>3</v>
      </c>
      <c r="T27" s="14">
        <f t="shared" si="0"/>
        <v>4</v>
      </c>
    </row>
    <row r="29" spans="1:20" x14ac:dyDescent="0.2">
      <c r="A29" s="15" t="s">
        <v>249</v>
      </c>
    </row>
  </sheetData>
  <conditionalFormatting sqref="B27:T27">
    <cfRule type="cellIs" dxfId="0" priority="2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Normal="100" workbookViewId="0">
      <selection activeCell="A14" sqref="A14"/>
    </sheetView>
  </sheetViews>
  <sheetFormatPr baseColWidth="10" defaultColWidth="8.6640625" defaultRowHeight="15" x14ac:dyDescent="0.2"/>
  <cols>
    <col min="1" max="1" width="22" customWidth="1"/>
    <col min="2" max="2" width="95" customWidth="1"/>
  </cols>
  <sheetData>
    <row r="1" spans="1:2" x14ac:dyDescent="0.2">
      <c r="A1" s="16" t="s">
        <v>250</v>
      </c>
      <c r="B1" s="16" t="s">
        <v>251</v>
      </c>
    </row>
    <row r="2" spans="1:2" ht="28" x14ac:dyDescent="0.2">
      <c r="A2" s="17" t="s">
        <v>252</v>
      </c>
      <c r="B2" s="18" t="s">
        <v>253</v>
      </c>
    </row>
    <row r="3" spans="1:2" ht="28" x14ac:dyDescent="0.2">
      <c r="A3" s="17" t="s">
        <v>254</v>
      </c>
      <c r="B3" s="18" t="s">
        <v>255</v>
      </c>
    </row>
    <row r="4" spans="1:2" x14ac:dyDescent="0.2">
      <c r="A4" s="17" t="s">
        <v>256</v>
      </c>
      <c r="B4" s="18" t="s">
        <v>257</v>
      </c>
    </row>
    <row r="5" spans="1:2" ht="28" x14ac:dyDescent="0.2">
      <c r="A5" s="17" t="s">
        <v>258</v>
      </c>
      <c r="B5" s="18" t="s">
        <v>259</v>
      </c>
    </row>
    <row r="6" spans="1:2" ht="28" x14ac:dyDescent="0.2">
      <c r="A6" s="17" t="s">
        <v>72</v>
      </c>
      <c r="B6" s="18" t="s">
        <v>260</v>
      </c>
    </row>
    <row r="7" spans="1:2" x14ac:dyDescent="0.2">
      <c r="A7" s="17" t="s">
        <v>61</v>
      </c>
      <c r="B7" s="18" t="s">
        <v>261</v>
      </c>
    </row>
    <row r="8" spans="1:2" x14ac:dyDescent="0.2">
      <c r="A8" s="17" t="s">
        <v>45</v>
      </c>
      <c r="B8" s="18" t="s">
        <v>262</v>
      </c>
    </row>
    <row r="9" spans="1:2" x14ac:dyDescent="0.2">
      <c r="A9" s="17" t="s">
        <v>95</v>
      </c>
      <c r="B9" s="18" t="s">
        <v>263</v>
      </c>
    </row>
    <row r="10" spans="1:2" x14ac:dyDescent="0.2">
      <c r="A10" s="17" t="s">
        <v>111</v>
      </c>
      <c r="B10" s="18" t="s">
        <v>264</v>
      </c>
    </row>
    <row r="11" spans="1:2" x14ac:dyDescent="0.2">
      <c r="A11" s="17" t="s">
        <v>265</v>
      </c>
      <c r="B11" s="18" t="s">
        <v>266</v>
      </c>
    </row>
    <row r="12" spans="1:2" x14ac:dyDescent="0.2">
      <c r="A12" s="17" t="s">
        <v>26</v>
      </c>
      <c r="B12" s="18" t="s">
        <v>267</v>
      </c>
    </row>
    <row r="13" spans="1:2" x14ac:dyDescent="0.2">
      <c r="A13" s="17" t="s">
        <v>268</v>
      </c>
      <c r="B13" s="18" t="s">
        <v>269</v>
      </c>
    </row>
    <row r="14" spans="1:2" x14ac:dyDescent="0.2">
      <c r="A14" s="17" t="s">
        <v>270</v>
      </c>
      <c r="B14" s="18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Casos</vt:lpstr>
      <vt:lpstr>Trazabilidad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Belly Espinal</cp:lastModifiedBy>
  <cp:revision>0</cp:revision>
  <dcterms:created xsi:type="dcterms:W3CDTF">2026-10-20T00:58:44Z</dcterms:created>
  <dcterms:modified xsi:type="dcterms:W3CDTF">2026-10-21T00:36:09Z</dcterms:modified>
  <dc:language>en-US</dc:language>
</cp:coreProperties>
</file>